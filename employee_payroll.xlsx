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n\OneDrive\Desktop\"/>
    </mc:Choice>
  </mc:AlternateContent>
  <xr:revisionPtr revIDLastSave="0" documentId="13_ncr:3_{9670AAD3-7E82-4E78-8AE5-328DC7976EBC}" xr6:coauthVersionLast="36" xr6:coauthVersionMax="36" xr10:uidLastSave="{00000000-0000-0000-0000-000000000000}"/>
  <bookViews>
    <workbookView xWindow="0" yWindow="0" windowWidth="17256" windowHeight="4764" xr2:uid="{F701594F-A2F1-4C31-B13F-22854E6F1B6B}"/>
  </bookViews>
  <sheets>
    <sheet name="employee_payroll_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4" i="1" l="1"/>
  <c r="AC21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3" i="1"/>
  <c r="X21" i="1"/>
  <c r="Y21" i="1"/>
  <c r="Z21" i="1"/>
  <c r="AA21" i="1"/>
  <c r="AB21" i="1"/>
  <c r="X22" i="1"/>
  <c r="Y22" i="1"/>
  <c r="Z22" i="1"/>
  <c r="AA22" i="1"/>
  <c r="AB22" i="1"/>
  <c r="X23" i="1"/>
  <c r="Y23" i="1"/>
  <c r="Z23" i="1"/>
  <c r="AA23" i="1"/>
  <c r="AB23" i="1"/>
  <c r="Y3" i="1"/>
  <c r="Z3" i="1"/>
  <c r="AA3" i="1"/>
  <c r="AB3" i="1"/>
  <c r="Y4" i="1"/>
  <c r="Z4" i="1"/>
  <c r="AA4" i="1"/>
  <c r="AB4" i="1"/>
  <c r="Y5" i="1"/>
  <c r="Z5" i="1"/>
  <c r="AA5" i="1"/>
  <c r="AB5" i="1"/>
  <c r="Y6" i="1"/>
  <c r="Z6" i="1"/>
  <c r="AA6" i="1"/>
  <c r="AB6" i="1"/>
  <c r="Y7" i="1"/>
  <c r="Z7" i="1"/>
  <c r="AA7" i="1"/>
  <c r="AB7" i="1"/>
  <c r="Y8" i="1"/>
  <c r="Z8" i="1"/>
  <c r="AA8" i="1"/>
  <c r="AB8" i="1"/>
  <c r="Y9" i="1"/>
  <c r="Z9" i="1"/>
  <c r="AA9" i="1"/>
  <c r="AB9" i="1"/>
  <c r="Y10" i="1"/>
  <c r="Z10" i="1"/>
  <c r="AA10" i="1"/>
  <c r="AB10" i="1"/>
  <c r="Y11" i="1"/>
  <c r="Z11" i="1"/>
  <c r="AA11" i="1"/>
  <c r="AB11" i="1"/>
  <c r="Y12" i="1"/>
  <c r="Z12" i="1"/>
  <c r="AA12" i="1"/>
  <c r="AB12" i="1"/>
  <c r="Y13" i="1"/>
  <c r="Z13" i="1"/>
  <c r="AA13" i="1"/>
  <c r="AB13" i="1"/>
  <c r="Y14" i="1"/>
  <c r="Z14" i="1"/>
  <c r="AA14" i="1"/>
  <c r="AB14" i="1"/>
  <c r="Y15" i="1"/>
  <c r="Z15" i="1"/>
  <c r="AA15" i="1"/>
  <c r="AB15" i="1"/>
  <c r="Y16" i="1"/>
  <c r="Z16" i="1"/>
  <c r="AA16" i="1"/>
  <c r="AB16" i="1"/>
  <c r="Y17" i="1"/>
  <c r="Z17" i="1"/>
  <c r="AA17" i="1"/>
  <c r="AB17" i="1"/>
  <c r="Y18" i="1"/>
  <c r="Z18" i="1"/>
  <c r="AA18" i="1"/>
  <c r="AB18" i="1"/>
  <c r="Y19" i="1"/>
  <c r="Z19" i="1"/>
  <c r="AA19" i="1"/>
  <c r="AB19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3" i="1"/>
  <c r="Z2" i="1"/>
  <c r="AA2" i="1"/>
  <c r="AB2" i="1" s="1"/>
  <c r="Y2" i="1"/>
  <c r="T21" i="1"/>
  <c r="U21" i="1"/>
  <c r="V21" i="1"/>
  <c r="W21" i="1"/>
  <c r="T22" i="1"/>
  <c r="U22" i="1"/>
  <c r="V22" i="1"/>
  <c r="W22" i="1"/>
  <c r="T23" i="1"/>
  <c r="U23" i="1"/>
  <c r="V23" i="1"/>
  <c r="W23" i="1"/>
  <c r="T3" i="1"/>
  <c r="U3" i="1"/>
  <c r="V3" i="1"/>
  <c r="W3" i="1"/>
  <c r="T4" i="1"/>
  <c r="U4" i="1"/>
  <c r="V4" i="1"/>
  <c r="W4" i="1"/>
  <c r="T5" i="1"/>
  <c r="U5" i="1"/>
  <c r="V5" i="1"/>
  <c r="W5" i="1"/>
  <c r="T6" i="1"/>
  <c r="U6" i="1"/>
  <c r="V6" i="1"/>
  <c r="W6" i="1"/>
  <c r="T7" i="1"/>
  <c r="U7" i="1"/>
  <c r="V7" i="1"/>
  <c r="W7" i="1"/>
  <c r="T8" i="1"/>
  <c r="U8" i="1"/>
  <c r="V8" i="1"/>
  <c r="W8" i="1"/>
  <c r="T9" i="1"/>
  <c r="U9" i="1"/>
  <c r="V9" i="1"/>
  <c r="W9" i="1"/>
  <c r="T10" i="1"/>
  <c r="U10" i="1"/>
  <c r="V10" i="1"/>
  <c r="W10" i="1"/>
  <c r="T11" i="1"/>
  <c r="U11" i="1"/>
  <c r="V11" i="1"/>
  <c r="W11" i="1"/>
  <c r="T12" i="1"/>
  <c r="U12" i="1"/>
  <c r="V12" i="1"/>
  <c r="W12" i="1"/>
  <c r="T13" i="1"/>
  <c r="U13" i="1"/>
  <c r="V13" i="1"/>
  <c r="W13" i="1"/>
  <c r="T14" i="1"/>
  <c r="U14" i="1"/>
  <c r="V14" i="1"/>
  <c r="W14" i="1"/>
  <c r="T15" i="1"/>
  <c r="U15" i="1"/>
  <c r="V15" i="1"/>
  <c r="W15" i="1"/>
  <c r="T16" i="1"/>
  <c r="U16" i="1"/>
  <c r="V16" i="1"/>
  <c r="W16" i="1"/>
  <c r="T17" i="1"/>
  <c r="U17" i="1"/>
  <c r="V17" i="1"/>
  <c r="W17" i="1"/>
  <c r="T18" i="1"/>
  <c r="U18" i="1"/>
  <c r="V18" i="1"/>
  <c r="W18" i="1"/>
  <c r="T19" i="1"/>
  <c r="U19" i="1"/>
  <c r="V19" i="1"/>
  <c r="W19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H3" i="1"/>
  <c r="G3" i="1"/>
  <c r="G21" i="1"/>
  <c r="U2" i="1"/>
  <c r="V2" i="1"/>
  <c r="W2" i="1" s="1"/>
  <c r="T2" i="1"/>
  <c r="O3" i="1"/>
  <c r="O23" i="1" s="1"/>
  <c r="P3" i="1"/>
  <c r="Q3" i="1"/>
  <c r="R3" i="1"/>
  <c r="O4" i="1"/>
  <c r="P4" i="1"/>
  <c r="Q4" i="1"/>
  <c r="R4" i="1"/>
  <c r="R21" i="1" s="1"/>
  <c r="O5" i="1"/>
  <c r="P5" i="1"/>
  <c r="P21" i="1" s="1"/>
  <c r="Q5" i="1"/>
  <c r="Q21" i="1" s="1"/>
  <c r="R5" i="1"/>
  <c r="O6" i="1"/>
  <c r="P6" i="1"/>
  <c r="Q6" i="1"/>
  <c r="R6" i="1"/>
  <c r="O7" i="1"/>
  <c r="P7" i="1"/>
  <c r="Q7" i="1"/>
  <c r="R7" i="1"/>
  <c r="O8" i="1"/>
  <c r="P8" i="1"/>
  <c r="Q8" i="1"/>
  <c r="R8" i="1"/>
  <c r="O9" i="1"/>
  <c r="P9" i="1"/>
  <c r="Q9" i="1"/>
  <c r="R9" i="1"/>
  <c r="O10" i="1"/>
  <c r="P10" i="1"/>
  <c r="Q10" i="1"/>
  <c r="R10" i="1"/>
  <c r="O11" i="1"/>
  <c r="P11" i="1"/>
  <c r="Q11" i="1"/>
  <c r="R11" i="1"/>
  <c r="O12" i="1"/>
  <c r="P12" i="1"/>
  <c r="Q12" i="1"/>
  <c r="R12" i="1"/>
  <c r="O13" i="1"/>
  <c r="P13" i="1"/>
  <c r="Q13" i="1"/>
  <c r="R13" i="1"/>
  <c r="O14" i="1"/>
  <c r="P14" i="1"/>
  <c r="Q14" i="1"/>
  <c r="R14" i="1"/>
  <c r="O15" i="1"/>
  <c r="P15" i="1"/>
  <c r="Q15" i="1"/>
  <c r="R15" i="1"/>
  <c r="O16" i="1"/>
  <c r="P16" i="1"/>
  <c r="Q16" i="1"/>
  <c r="R16" i="1"/>
  <c r="O17" i="1"/>
  <c r="P17" i="1"/>
  <c r="Q17" i="1"/>
  <c r="R17" i="1"/>
  <c r="O18" i="1"/>
  <c r="P18" i="1"/>
  <c r="Q18" i="1"/>
  <c r="R18" i="1"/>
  <c r="O19" i="1"/>
  <c r="P19" i="1"/>
  <c r="Q19" i="1"/>
  <c r="R19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3" i="1"/>
  <c r="Q2" i="1"/>
  <c r="R2" i="1"/>
  <c r="P2" i="1"/>
  <c r="O2" i="1"/>
  <c r="E21" i="1"/>
  <c r="F21" i="1"/>
  <c r="E22" i="1"/>
  <c r="F22" i="1"/>
  <c r="E23" i="1"/>
  <c r="F2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3" i="1"/>
  <c r="D3" i="1"/>
  <c r="S3" i="1" s="1"/>
  <c r="G2" i="1"/>
  <c r="H2" i="1"/>
  <c r="F2" i="1"/>
  <c r="E2" i="1"/>
  <c r="G22" i="1" l="1"/>
  <c r="H22" i="1"/>
  <c r="G23" i="1"/>
  <c r="O21" i="1"/>
  <c r="R23" i="1"/>
  <c r="R22" i="1"/>
  <c r="Q23" i="1"/>
  <c r="Q22" i="1"/>
  <c r="P22" i="1"/>
  <c r="P23" i="1"/>
  <c r="O22" i="1"/>
  <c r="M21" i="1"/>
  <c r="M22" i="1"/>
  <c r="M23" i="1"/>
  <c r="J21" i="1"/>
  <c r="K21" i="1"/>
  <c r="L21" i="1"/>
  <c r="J22" i="1"/>
  <c r="K22" i="1"/>
  <c r="L22" i="1"/>
  <c r="J23" i="1"/>
  <c r="K23" i="1"/>
  <c r="L23" i="1"/>
  <c r="H21" i="1" l="1"/>
  <c r="H23" i="1"/>
  <c r="I21" i="1"/>
  <c r="I22" i="1"/>
  <c r="I23" i="1"/>
  <c r="J2" i="1"/>
  <c r="K2" i="1" s="1"/>
  <c r="L2" i="1" s="1"/>
  <c r="M2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S23" i="1" l="1"/>
  <c r="S22" i="1"/>
  <c r="S21" i="1"/>
  <c r="D23" i="1"/>
  <c r="D22" i="1"/>
  <c r="D21" i="1"/>
  <c r="C23" i="1"/>
  <c r="C22" i="1"/>
  <c r="C21" i="1"/>
  <c r="N21" i="1" l="1"/>
  <c r="AC22" i="1"/>
  <c r="AC23" i="1"/>
  <c r="N22" i="1"/>
  <c r="N23" i="1"/>
</calcChain>
</file>

<file path=xl/sharedStrings.xml><?xml version="1.0" encoding="utf-8"?>
<sst xmlns="http://schemas.openxmlformats.org/spreadsheetml/2006/main" count="48" uniqueCount="45">
  <si>
    <t>LastName</t>
  </si>
  <si>
    <t>First Name</t>
  </si>
  <si>
    <t>Hourly Wage</t>
  </si>
  <si>
    <t>Adil</t>
  </si>
  <si>
    <t>Imran</t>
  </si>
  <si>
    <t>Alam</t>
  </si>
  <si>
    <t>Rehan</t>
  </si>
  <si>
    <t>Ken</t>
  </si>
  <si>
    <t>Leo</t>
  </si>
  <si>
    <t>Smith</t>
  </si>
  <si>
    <t>Tom</t>
  </si>
  <si>
    <t>Camehan</t>
  </si>
  <si>
    <t>Karen</t>
  </si>
  <si>
    <t>Trenton</t>
  </si>
  <si>
    <t>Loreence</t>
  </si>
  <si>
    <t>Moin</t>
  </si>
  <si>
    <t>Merry</t>
  </si>
  <si>
    <t>Kiran</t>
  </si>
  <si>
    <t>Baker</t>
  </si>
  <si>
    <t>Paul</t>
  </si>
  <si>
    <t>Young</t>
  </si>
  <si>
    <t>Ryan</t>
  </si>
  <si>
    <t>Noman</t>
  </si>
  <si>
    <t>Mustaqim</t>
  </si>
  <si>
    <t>Hasir</t>
  </si>
  <si>
    <t>Westerfield</t>
  </si>
  <si>
    <t>Jon</t>
  </si>
  <si>
    <t>Velinda</t>
  </si>
  <si>
    <t>Nancy</t>
  </si>
  <si>
    <t>Howard</t>
  </si>
  <si>
    <t>Bill</t>
  </si>
  <si>
    <t>Lendai</t>
  </si>
  <si>
    <t>Senda</t>
  </si>
  <si>
    <t>Thonde</t>
  </si>
  <si>
    <t>Ross</t>
  </si>
  <si>
    <t>Hours Worked</t>
  </si>
  <si>
    <t>Pay</t>
  </si>
  <si>
    <t>Max</t>
  </si>
  <si>
    <t>Min</t>
  </si>
  <si>
    <t>Average</t>
  </si>
  <si>
    <t>Total</t>
  </si>
  <si>
    <t xml:space="preserve">Employee Payroll </t>
  </si>
  <si>
    <t>Overtime Hours</t>
  </si>
  <si>
    <t>Bonus</t>
  </si>
  <si>
    <t>Grand-Total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</si>
</sst>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2" fillId="0" borderId="1" xfId="0" applyNumberFormat="1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164" fontId="3" fillId="0" borderId="1" xfId="0" applyNumberFormat="1" applyFont="1" applyBorder="1"/>
    <xf numFmtId="0" fontId="2" fillId="0" borderId="2" xfId="0" applyFont="1" applyBorder="1"/>
    <xf numFmtId="16" fontId="2" fillId="0" borderId="2" xfId="0" applyNumberFormat="1" applyFont="1" applyBorder="1"/>
    <xf numFmtId="0" fontId="2" fillId="0" borderId="2" xfId="0" applyFont="1" applyFill="1" applyBorder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" fontId="2" fillId="2" borderId="2" xfId="0" applyNumberFormat="1" applyFont="1" applyFill="1" applyBorder="1"/>
    <xf numFmtId="0" fontId="0" fillId="2" borderId="1" xfId="0" applyFill="1" applyBorder="1"/>
    <xf numFmtId="16" fontId="2" fillId="3" borderId="2" xfId="0" applyNumberFormat="1" applyFont="1" applyFill="1" applyBorder="1"/>
    <xf numFmtId="0" fontId="0" fillId="3" borderId="1" xfId="0" applyNumberFormat="1" applyFill="1" applyBorder="1"/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" fontId="2" fillId="4" borderId="2" xfId="0" applyNumberFormat="1" applyFont="1" applyFill="1" applyBorder="1"/>
    <xf numFmtId="164" fontId="0" fillId="4" borderId="1" xfId="0" applyNumberFormat="1" applyFill="1" applyBorder="1"/>
    <xf numFmtId="0" fontId="5" fillId="0" borderId="6" xfId="0" applyFont="1" applyBorder="1" applyAlignment="1">
      <alignment horizontal="center" vertical="center"/>
    </xf>
    <xf numFmtId="16" fontId="2" fillId="0" borderId="2" xfId="0" applyNumberFormat="1" applyFont="1" applyFill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0" fontId="5" fillId="0" borderId="0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164" fontId="0" fillId="7" borderId="1" xfId="0" applyNumberFormat="1" applyFill="1" applyBorder="1"/>
  </cellXfs>
  <cellStyles count="1">
    <cellStyle name="Normal" xfId="0" builtinId="0"/>
  </cellStyles>
  <dxfs count="5"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1A81-C99D-43E2-99D2-8B95180EECCF}">
  <dimension ref="A1:AG24"/>
  <sheetViews>
    <sheetView tabSelected="1" topLeftCell="X1" zoomScale="90" zoomScaleNormal="90" workbookViewId="0">
      <selection activeCell="C26" sqref="C26"/>
    </sheetView>
  </sheetViews>
  <sheetFormatPr defaultRowHeight="14.4" x14ac:dyDescent="0.3"/>
  <cols>
    <col min="1" max="1" width="33.109375" customWidth="1"/>
    <col min="2" max="2" width="11" bestFit="1" customWidth="1"/>
    <col min="3" max="3" width="19.6640625" customWidth="1"/>
    <col min="4" max="4" width="26.21875" bestFit="1" customWidth="1"/>
    <col min="5" max="8" width="26.21875" customWidth="1"/>
    <col min="9" max="9" width="14.6640625" bestFit="1" customWidth="1"/>
    <col min="10" max="13" width="14.6640625" customWidth="1"/>
    <col min="14" max="14" width="13.109375" bestFit="1" customWidth="1"/>
    <col min="15" max="18" width="13.109375" customWidth="1"/>
    <col min="19" max="28" width="15.33203125" customWidth="1"/>
    <col min="29" max="29" width="18" bestFit="1" customWidth="1"/>
  </cols>
  <sheetData>
    <row r="1" spans="1:33" ht="34.799999999999997" customHeight="1" thickTop="1" thickBot="1" x14ac:dyDescent="0.35">
      <c r="A1" s="10" t="s">
        <v>41</v>
      </c>
      <c r="B1" s="11"/>
      <c r="C1" s="12"/>
      <c r="D1" s="13" t="s">
        <v>42</v>
      </c>
      <c r="E1" s="11"/>
      <c r="F1" s="11"/>
      <c r="G1" s="11"/>
      <c r="H1" s="14"/>
      <c r="I1" s="19" t="s">
        <v>35</v>
      </c>
      <c r="J1" s="20"/>
      <c r="K1" s="20"/>
      <c r="L1" s="20"/>
      <c r="M1" s="24"/>
      <c r="N1" s="19" t="s">
        <v>36</v>
      </c>
      <c r="O1" s="20"/>
      <c r="P1" s="20"/>
      <c r="Q1" s="20"/>
      <c r="R1" s="24"/>
      <c r="S1" s="19" t="s">
        <v>43</v>
      </c>
      <c r="T1" s="20"/>
      <c r="U1" s="20"/>
      <c r="V1" s="20"/>
      <c r="W1" s="24"/>
      <c r="X1" s="21" t="s">
        <v>40</v>
      </c>
      <c r="Y1" s="20"/>
      <c r="Z1" s="20"/>
      <c r="AA1" s="20"/>
      <c r="AB1" s="20"/>
      <c r="AC1" s="29" t="s">
        <v>44</v>
      </c>
      <c r="AD1" s="28"/>
      <c r="AE1" s="28"/>
      <c r="AF1" s="28"/>
      <c r="AG1" s="28"/>
    </row>
    <row r="2" spans="1:33" ht="16.2" thickTop="1" x14ac:dyDescent="0.3">
      <c r="A2" s="7" t="s">
        <v>0</v>
      </c>
      <c r="B2" s="7" t="s">
        <v>1</v>
      </c>
      <c r="C2" s="7" t="s">
        <v>2</v>
      </c>
      <c r="D2" s="17">
        <v>45292</v>
      </c>
      <c r="E2" s="17">
        <f>D2+7</f>
        <v>45299</v>
      </c>
      <c r="F2" s="17">
        <f t="shared" ref="F2:H2" si="0">E2+7</f>
        <v>45306</v>
      </c>
      <c r="G2" s="17">
        <f t="shared" si="0"/>
        <v>45313</v>
      </c>
      <c r="H2" s="17">
        <f t="shared" si="0"/>
        <v>45320</v>
      </c>
      <c r="I2" s="15">
        <v>45292</v>
      </c>
      <c r="J2" s="15">
        <f>I2+7</f>
        <v>45299</v>
      </c>
      <c r="K2" s="15">
        <f t="shared" ref="K2:M2" si="1">J2+7</f>
        <v>45306</v>
      </c>
      <c r="L2" s="15">
        <f t="shared" si="1"/>
        <v>45313</v>
      </c>
      <c r="M2" s="8">
        <f t="shared" si="1"/>
        <v>45320</v>
      </c>
      <c r="N2" s="22">
        <v>45292</v>
      </c>
      <c r="O2" s="22">
        <f>N2+7</f>
        <v>45299</v>
      </c>
      <c r="P2" s="22">
        <f t="shared" ref="P2:R2" si="2">O2+7</f>
        <v>45306</v>
      </c>
      <c r="Q2" s="22">
        <f t="shared" si="2"/>
        <v>45313</v>
      </c>
      <c r="R2" s="22">
        <f t="shared" si="2"/>
        <v>45320</v>
      </c>
      <c r="S2" s="25">
        <v>45292</v>
      </c>
      <c r="T2" s="25">
        <f>S2+7</f>
        <v>45299</v>
      </c>
      <c r="U2" s="25">
        <f t="shared" ref="U2:W2" si="3">T2+7</f>
        <v>45306</v>
      </c>
      <c r="V2" s="25">
        <f t="shared" si="3"/>
        <v>45313</v>
      </c>
      <c r="W2" s="25">
        <f t="shared" si="3"/>
        <v>45320</v>
      </c>
      <c r="X2" s="25">
        <v>45292</v>
      </c>
      <c r="Y2" s="25">
        <f>X2+7</f>
        <v>45299</v>
      </c>
      <c r="Z2" s="25">
        <f t="shared" ref="Z2:AB2" si="4">Y2+7</f>
        <v>45306</v>
      </c>
      <c r="AA2" s="25">
        <f t="shared" si="4"/>
        <v>45313</v>
      </c>
      <c r="AB2" s="25">
        <f t="shared" si="4"/>
        <v>45320</v>
      </c>
      <c r="AC2" s="9"/>
    </row>
    <row r="3" spans="1:33" x14ac:dyDescent="0.3">
      <c r="A3" s="1" t="s">
        <v>3</v>
      </c>
      <c r="B3" s="1" t="s">
        <v>4</v>
      </c>
      <c r="C3" s="2">
        <v>15.9</v>
      </c>
      <c r="D3" s="18">
        <f>IF(I3&gt;40,I3-40,0)</f>
        <v>0</v>
      </c>
      <c r="E3" s="18">
        <f>IF(J3&gt;40,J3-40,0)</f>
        <v>0</v>
      </c>
      <c r="F3" s="18">
        <f>IF(K3&gt;40,K3-40,0)</f>
        <v>0</v>
      </c>
      <c r="G3" s="18">
        <f>IF(L3&gt;40,L3-40,0)</f>
        <v>0</v>
      </c>
      <c r="H3" s="18">
        <f>IF(M3&gt;40,M3-40,0)</f>
        <v>0</v>
      </c>
      <c r="I3" s="16">
        <v>30</v>
      </c>
      <c r="J3" s="16">
        <v>40</v>
      </c>
      <c r="K3" s="16">
        <v>35</v>
      </c>
      <c r="L3" s="16">
        <v>29</v>
      </c>
      <c r="M3" s="1">
        <v>27</v>
      </c>
      <c r="N3" s="23">
        <f>$C3*I3</f>
        <v>477</v>
      </c>
      <c r="O3" s="23">
        <f t="shared" ref="O3:R18" si="5">$C3*J3</f>
        <v>636</v>
      </c>
      <c r="P3" s="23">
        <f t="shared" si="5"/>
        <v>556.5</v>
      </c>
      <c r="Q3" s="23">
        <f t="shared" si="5"/>
        <v>461.1</v>
      </c>
      <c r="R3" s="23">
        <f t="shared" si="5"/>
        <v>429.3</v>
      </c>
      <c r="S3" s="26">
        <f>0.5 * $C3 * D3</f>
        <v>0</v>
      </c>
      <c r="T3" s="26">
        <f t="shared" ref="T3:W18" si="6">0.5 * $C3 * E3</f>
        <v>0</v>
      </c>
      <c r="U3" s="26">
        <f t="shared" si="6"/>
        <v>0</v>
      </c>
      <c r="V3" s="26">
        <f t="shared" si="6"/>
        <v>0</v>
      </c>
      <c r="W3" s="26">
        <f t="shared" si="6"/>
        <v>0</v>
      </c>
      <c r="X3" s="27">
        <f>N3+S3</f>
        <v>477</v>
      </c>
      <c r="Y3" s="27">
        <f t="shared" ref="Y3:AB18" si="7">O3+T3</f>
        <v>636</v>
      </c>
      <c r="Z3" s="27">
        <f t="shared" si="7"/>
        <v>556.5</v>
      </c>
      <c r="AA3" s="27">
        <f t="shared" si="7"/>
        <v>461.1</v>
      </c>
      <c r="AB3" s="27">
        <f t="shared" si="7"/>
        <v>429.3</v>
      </c>
      <c r="AC3" s="30">
        <f>SUM(X3:AB3)</f>
        <v>2559.9</v>
      </c>
    </row>
    <row r="4" spans="1:33" x14ac:dyDescent="0.3">
      <c r="A4" s="1" t="s">
        <v>5</v>
      </c>
      <c r="B4" s="1" t="s">
        <v>6</v>
      </c>
      <c r="C4" s="2">
        <v>10.25</v>
      </c>
      <c r="D4" s="18">
        <f>IF(I4&gt;40,I4-40,0)</f>
        <v>0</v>
      </c>
      <c r="E4" s="18">
        <f t="shared" ref="E4:E19" si="8">IF(J4&gt;40,J4-40,0)</f>
        <v>0</v>
      </c>
      <c r="F4" s="18">
        <f t="shared" ref="F4:F19" si="9">IF(K4&gt;40,K4-40,0)</f>
        <v>16</v>
      </c>
      <c r="G4" s="18">
        <f t="shared" ref="G4:G19" si="10">IF(L4&gt;40,L4-40,0)</f>
        <v>5</v>
      </c>
      <c r="H4" s="18">
        <f t="shared" ref="H4:H19" si="11">IF(M4&gt;40,M4-40,0)</f>
        <v>0</v>
      </c>
      <c r="I4" s="16">
        <v>25</v>
      </c>
      <c r="J4" s="16">
        <v>39</v>
      </c>
      <c r="K4" s="16">
        <v>56</v>
      </c>
      <c r="L4" s="16">
        <v>45</v>
      </c>
      <c r="M4" s="1">
        <v>25</v>
      </c>
      <c r="N4" s="23">
        <f t="shared" ref="N4:N19" si="12">$C4*I4</f>
        <v>256.25</v>
      </c>
      <c r="O4" s="23">
        <f t="shared" si="5"/>
        <v>399.75</v>
      </c>
      <c r="P4" s="23">
        <f t="shared" si="5"/>
        <v>574</v>
      </c>
      <c r="Q4" s="23">
        <f t="shared" si="5"/>
        <v>461.25</v>
      </c>
      <c r="R4" s="23">
        <f t="shared" si="5"/>
        <v>256.25</v>
      </c>
      <c r="S4" s="26">
        <f t="shared" ref="S4:S19" si="13">0.5 * $C4 * D4</f>
        <v>0</v>
      </c>
      <c r="T4" s="26">
        <f t="shared" si="6"/>
        <v>0</v>
      </c>
      <c r="U4" s="26">
        <f t="shared" si="6"/>
        <v>82</v>
      </c>
      <c r="V4" s="26">
        <f t="shared" si="6"/>
        <v>25.625</v>
      </c>
      <c r="W4" s="26">
        <f t="shared" si="6"/>
        <v>0</v>
      </c>
      <c r="X4" s="27">
        <f t="shared" ref="X4:X19" si="14">N4+S4</f>
        <v>256.25</v>
      </c>
      <c r="Y4" s="27">
        <f t="shared" si="7"/>
        <v>399.75</v>
      </c>
      <c r="Z4" s="27">
        <f t="shared" si="7"/>
        <v>656</v>
      </c>
      <c r="AA4" s="27">
        <f t="shared" si="7"/>
        <v>486.875</v>
      </c>
      <c r="AB4" s="27">
        <f t="shared" si="7"/>
        <v>256.25</v>
      </c>
      <c r="AC4" s="30">
        <f t="shared" ref="AC4:AC19" si="15">SUM(X4:AB4)</f>
        <v>2055.125</v>
      </c>
    </row>
    <row r="5" spans="1:33" x14ac:dyDescent="0.3">
      <c r="A5" s="1" t="s">
        <v>7</v>
      </c>
      <c r="B5" s="1" t="s">
        <v>8</v>
      </c>
      <c r="C5" s="2">
        <v>30.56</v>
      </c>
      <c r="D5" s="18">
        <f>IF(I5&gt;40,I5-40,0)</f>
        <v>0</v>
      </c>
      <c r="E5" s="18">
        <f t="shared" si="8"/>
        <v>0</v>
      </c>
      <c r="F5" s="18">
        <f t="shared" si="9"/>
        <v>1</v>
      </c>
      <c r="G5" s="18">
        <f t="shared" si="10"/>
        <v>0</v>
      </c>
      <c r="H5" s="18">
        <f t="shared" si="11"/>
        <v>0</v>
      </c>
      <c r="I5" s="16">
        <v>15</v>
      </c>
      <c r="J5" s="16">
        <v>36</v>
      </c>
      <c r="K5" s="16">
        <v>41</v>
      </c>
      <c r="L5" s="16">
        <v>38</v>
      </c>
      <c r="M5" s="1">
        <v>20</v>
      </c>
      <c r="N5" s="23">
        <f t="shared" si="12"/>
        <v>458.4</v>
      </c>
      <c r="O5" s="23">
        <f t="shared" si="5"/>
        <v>1100.1599999999999</v>
      </c>
      <c r="P5" s="23">
        <f t="shared" si="5"/>
        <v>1252.96</v>
      </c>
      <c r="Q5" s="23">
        <f t="shared" si="5"/>
        <v>1161.28</v>
      </c>
      <c r="R5" s="23">
        <f t="shared" si="5"/>
        <v>611.19999999999993</v>
      </c>
      <c r="S5" s="26">
        <f t="shared" si="13"/>
        <v>0</v>
      </c>
      <c r="T5" s="26">
        <f t="shared" si="6"/>
        <v>0</v>
      </c>
      <c r="U5" s="26">
        <f t="shared" si="6"/>
        <v>15.28</v>
      </c>
      <c r="V5" s="26">
        <f t="shared" si="6"/>
        <v>0</v>
      </c>
      <c r="W5" s="26">
        <f t="shared" si="6"/>
        <v>0</v>
      </c>
      <c r="X5" s="27">
        <f t="shared" si="14"/>
        <v>458.4</v>
      </c>
      <c r="Y5" s="27">
        <f t="shared" si="7"/>
        <v>1100.1599999999999</v>
      </c>
      <c r="Z5" s="27">
        <f t="shared" si="7"/>
        <v>1268.24</v>
      </c>
      <c r="AA5" s="27">
        <f t="shared" si="7"/>
        <v>1161.28</v>
      </c>
      <c r="AB5" s="27">
        <f t="shared" si="7"/>
        <v>611.19999999999993</v>
      </c>
      <c r="AC5" s="30">
        <f t="shared" si="15"/>
        <v>4599.28</v>
      </c>
    </row>
    <row r="6" spans="1:33" x14ac:dyDescent="0.3">
      <c r="A6" s="1" t="s">
        <v>9</v>
      </c>
      <c r="B6" s="1" t="s">
        <v>10</v>
      </c>
      <c r="C6" s="2">
        <v>10</v>
      </c>
      <c r="D6" s="18">
        <f>IF(I6&gt;40,I6-40,0)</f>
        <v>0</v>
      </c>
      <c r="E6" s="18">
        <f t="shared" si="8"/>
        <v>0</v>
      </c>
      <c r="F6" s="18">
        <f t="shared" si="9"/>
        <v>0</v>
      </c>
      <c r="G6" s="18">
        <f t="shared" si="10"/>
        <v>0</v>
      </c>
      <c r="H6" s="18">
        <f t="shared" si="11"/>
        <v>0</v>
      </c>
      <c r="I6" s="16">
        <v>19</v>
      </c>
      <c r="J6" s="16">
        <v>34</v>
      </c>
      <c r="K6" s="16">
        <v>30</v>
      </c>
      <c r="L6" s="16">
        <v>28</v>
      </c>
      <c r="M6" s="1">
        <v>39</v>
      </c>
      <c r="N6" s="23">
        <f t="shared" si="12"/>
        <v>190</v>
      </c>
      <c r="O6" s="23">
        <f t="shared" si="5"/>
        <v>340</v>
      </c>
      <c r="P6" s="23">
        <f t="shared" si="5"/>
        <v>300</v>
      </c>
      <c r="Q6" s="23">
        <f t="shared" si="5"/>
        <v>280</v>
      </c>
      <c r="R6" s="23">
        <f t="shared" si="5"/>
        <v>390</v>
      </c>
      <c r="S6" s="26">
        <f t="shared" si="13"/>
        <v>0</v>
      </c>
      <c r="T6" s="26">
        <f t="shared" si="6"/>
        <v>0</v>
      </c>
      <c r="U6" s="26">
        <f t="shared" si="6"/>
        <v>0</v>
      </c>
      <c r="V6" s="26">
        <f t="shared" si="6"/>
        <v>0</v>
      </c>
      <c r="W6" s="26">
        <f t="shared" si="6"/>
        <v>0</v>
      </c>
      <c r="X6" s="27">
        <f t="shared" si="14"/>
        <v>190</v>
      </c>
      <c r="Y6" s="27">
        <f t="shared" si="7"/>
        <v>340</v>
      </c>
      <c r="Z6" s="27">
        <f t="shared" si="7"/>
        <v>300</v>
      </c>
      <c r="AA6" s="27">
        <f t="shared" si="7"/>
        <v>280</v>
      </c>
      <c r="AB6" s="27">
        <f t="shared" si="7"/>
        <v>390</v>
      </c>
      <c r="AC6" s="30">
        <f t="shared" si="15"/>
        <v>1500</v>
      </c>
    </row>
    <row r="7" spans="1:33" x14ac:dyDescent="0.3">
      <c r="A7" s="1" t="s">
        <v>11</v>
      </c>
      <c r="B7" s="1" t="s">
        <v>12</v>
      </c>
      <c r="C7" s="2">
        <v>15.1</v>
      </c>
      <c r="D7" s="18">
        <f t="shared" ref="D7:D19" si="16">IF(I7&gt;40,I7-40,0)</f>
        <v>0</v>
      </c>
      <c r="E7" s="18">
        <f t="shared" si="8"/>
        <v>0</v>
      </c>
      <c r="F7" s="18">
        <f t="shared" si="9"/>
        <v>0</v>
      </c>
      <c r="G7" s="18">
        <f t="shared" si="10"/>
        <v>0</v>
      </c>
      <c r="H7" s="18">
        <f t="shared" si="11"/>
        <v>5</v>
      </c>
      <c r="I7" s="16">
        <v>27</v>
      </c>
      <c r="J7" s="16">
        <v>29</v>
      </c>
      <c r="K7" s="16">
        <v>19</v>
      </c>
      <c r="L7" s="16">
        <v>27</v>
      </c>
      <c r="M7" s="1">
        <v>45</v>
      </c>
      <c r="N7" s="23">
        <f t="shared" si="12"/>
        <v>407.7</v>
      </c>
      <c r="O7" s="23">
        <f t="shared" si="5"/>
        <v>437.9</v>
      </c>
      <c r="P7" s="23">
        <f t="shared" si="5"/>
        <v>286.89999999999998</v>
      </c>
      <c r="Q7" s="23">
        <f t="shared" si="5"/>
        <v>407.7</v>
      </c>
      <c r="R7" s="23">
        <f t="shared" si="5"/>
        <v>679.5</v>
      </c>
      <c r="S7" s="26">
        <f t="shared" si="13"/>
        <v>0</v>
      </c>
      <c r="T7" s="26">
        <f t="shared" si="6"/>
        <v>0</v>
      </c>
      <c r="U7" s="26">
        <f t="shared" si="6"/>
        <v>0</v>
      </c>
      <c r="V7" s="26">
        <f t="shared" si="6"/>
        <v>0</v>
      </c>
      <c r="W7" s="26">
        <f t="shared" si="6"/>
        <v>37.75</v>
      </c>
      <c r="X7" s="27">
        <f t="shared" si="14"/>
        <v>407.7</v>
      </c>
      <c r="Y7" s="27">
        <f t="shared" si="7"/>
        <v>437.9</v>
      </c>
      <c r="Z7" s="27">
        <f t="shared" si="7"/>
        <v>286.89999999999998</v>
      </c>
      <c r="AA7" s="27">
        <f t="shared" si="7"/>
        <v>407.7</v>
      </c>
      <c r="AB7" s="27">
        <f t="shared" si="7"/>
        <v>717.25</v>
      </c>
      <c r="AC7" s="30">
        <f t="shared" si="15"/>
        <v>2257.4499999999998</v>
      </c>
    </row>
    <row r="8" spans="1:33" x14ac:dyDescent="0.3">
      <c r="A8" s="1" t="s">
        <v>13</v>
      </c>
      <c r="B8" s="1" t="s">
        <v>14</v>
      </c>
      <c r="C8" s="2">
        <v>17.25</v>
      </c>
      <c r="D8" s="18">
        <f t="shared" si="16"/>
        <v>6</v>
      </c>
      <c r="E8" s="18">
        <f t="shared" si="8"/>
        <v>0</v>
      </c>
      <c r="F8" s="18">
        <f t="shared" si="9"/>
        <v>0</v>
      </c>
      <c r="G8" s="18">
        <f t="shared" si="10"/>
        <v>0</v>
      </c>
      <c r="H8" s="18">
        <f t="shared" si="11"/>
        <v>30</v>
      </c>
      <c r="I8" s="16">
        <v>46</v>
      </c>
      <c r="J8" s="16">
        <v>24</v>
      </c>
      <c r="K8" s="16">
        <v>26</v>
      </c>
      <c r="L8" s="16">
        <v>14</v>
      </c>
      <c r="M8" s="1">
        <v>70</v>
      </c>
      <c r="N8" s="23">
        <f t="shared" si="12"/>
        <v>793.5</v>
      </c>
      <c r="O8" s="23">
        <f t="shared" si="5"/>
        <v>414</v>
      </c>
      <c r="P8" s="23">
        <f t="shared" si="5"/>
        <v>448.5</v>
      </c>
      <c r="Q8" s="23">
        <f t="shared" si="5"/>
        <v>241.5</v>
      </c>
      <c r="R8" s="23">
        <f t="shared" si="5"/>
        <v>1207.5</v>
      </c>
      <c r="S8" s="26">
        <f t="shared" si="13"/>
        <v>51.75</v>
      </c>
      <c r="T8" s="26">
        <f t="shared" si="6"/>
        <v>0</v>
      </c>
      <c r="U8" s="26">
        <f t="shared" si="6"/>
        <v>0</v>
      </c>
      <c r="V8" s="26">
        <f t="shared" si="6"/>
        <v>0</v>
      </c>
      <c r="W8" s="26">
        <f t="shared" si="6"/>
        <v>258.75</v>
      </c>
      <c r="X8" s="27">
        <f t="shared" si="14"/>
        <v>845.25</v>
      </c>
      <c r="Y8" s="27">
        <f t="shared" si="7"/>
        <v>414</v>
      </c>
      <c r="Z8" s="27">
        <f t="shared" si="7"/>
        <v>448.5</v>
      </c>
      <c r="AA8" s="27">
        <f t="shared" si="7"/>
        <v>241.5</v>
      </c>
      <c r="AB8" s="27">
        <f t="shared" si="7"/>
        <v>1466.25</v>
      </c>
      <c r="AC8" s="30">
        <f t="shared" si="15"/>
        <v>3415.5</v>
      </c>
    </row>
    <row r="9" spans="1:33" x14ac:dyDescent="0.3">
      <c r="A9" s="1" t="s">
        <v>15</v>
      </c>
      <c r="B9" s="1" t="s">
        <v>3</v>
      </c>
      <c r="C9" s="2">
        <v>19.63</v>
      </c>
      <c r="D9" s="18">
        <f t="shared" si="16"/>
        <v>0</v>
      </c>
      <c r="E9" s="18">
        <f t="shared" si="8"/>
        <v>0</v>
      </c>
      <c r="F9" s="18">
        <f t="shared" si="9"/>
        <v>0</v>
      </c>
      <c r="G9" s="18">
        <f t="shared" si="10"/>
        <v>0</v>
      </c>
      <c r="H9" s="18">
        <f t="shared" si="11"/>
        <v>5</v>
      </c>
      <c r="I9" s="16">
        <v>35</v>
      </c>
      <c r="J9" s="16">
        <v>19</v>
      </c>
      <c r="K9" s="16">
        <v>24</v>
      </c>
      <c r="L9" s="16">
        <v>26</v>
      </c>
      <c r="M9" s="1">
        <v>45</v>
      </c>
      <c r="N9" s="23">
        <f t="shared" si="12"/>
        <v>687.05</v>
      </c>
      <c r="O9" s="23">
        <f t="shared" si="5"/>
        <v>372.96999999999997</v>
      </c>
      <c r="P9" s="23">
        <f t="shared" si="5"/>
        <v>471.12</v>
      </c>
      <c r="Q9" s="23">
        <f t="shared" si="5"/>
        <v>510.38</v>
      </c>
      <c r="R9" s="23">
        <f t="shared" si="5"/>
        <v>883.34999999999991</v>
      </c>
      <c r="S9" s="26">
        <f t="shared" si="13"/>
        <v>0</v>
      </c>
      <c r="T9" s="26">
        <f t="shared" si="6"/>
        <v>0</v>
      </c>
      <c r="U9" s="26">
        <f t="shared" si="6"/>
        <v>0</v>
      </c>
      <c r="V9" s="26">
        <f t="shared" si="6"/>
        <v>0</v>
      </c>
      <c r="W9" s="26">
        <f t="shared" si="6"/>
        <v>49.074999999999996</v>
      </c>
      <c r="X9" s="27">
        <f t="shared" si="14"/>
        <v>687.05</v>
      </c>
      <c r="Y9" s="27">
        <f t="shared" si="7"/>
        <v>372.96999999999997</v>
      </c>
      <c r="Z9" s="27">
        <f t="shared" si="7"/>
        <v>471.12</v>
      </c>
      <c r="AA9" s="27">
        <f t="shared" si="7"/>
        <v>510.38</v>
      </c>
      <c r="AB9" s="27">
        <f t="shared" si="7"/>
        <v>932.42499999999995</v>
      </c>
      <c r="AC9" s="30">
        <f t="shared" si="15"/>
        <v>2973.9449999999997</v>
      </c>
    </row>
    <row r="10" spans="1:33" x14ac:dyDescent="0.3">
      <c r="A10" s="1" t="s">
        <v>16</v>
      </c>
      <c r="B10" s="1" t="s">
        <v>17</v>
      </c>
      <c r="C10" s="2">
        <v>16.98</v>
      </c>
      <c r="D10" s="18">
        <f t="shared" si="16"/>
        <v>0</v>
      </c>
      <c r="E10" s="18">
        <f t="shared" si="8"/>
        <v>0</v>
      </c>
      <c r="F10" s="18">
        <f t="shared" si="9"/>
        <v>0</v>
      </c>
      <c r="G10" s="18">
        <f t="shared" si="10"/>
        <v>0</v>
      </c>
      <c r="H10" s="18">
        <f t="shared" si="11"/>
        <v>0</v>
      </c>
      <c r="I10" s="16">
        <v>40</v>
      </c>
      <c r="J10" s="16">
        <v>36</v>
      </c>
      <c r="K10" s="16">
        <v>27</v>
      </c>
      <c r="L10" s="16">
        <v>27</v>
      </c>
      <c r="M10" s="1">
        <v>36</v>
      </c>
      <c r="N10" s="23">
        <f t="shared" si="12"/>
        <v>679.2</v>
      </c>
      <c r="O10" s="23">
        <f t="shared" si="5"/>
        <v>611.28</v>
      </c>
      <c r="P10" s="23">
        <f t="shared" si="5"/>
        <v>458.46000000000004</v>
      </c>
      <c r="Q10" s="23">
        <f t="shared" si="5"/>
        <v>458.46000000000004</v>
      </c>
      <c r="R10" s="23">
        <f t="shared" si="5"/>
        <v>611.28</v>
      </c>
      <c r="S10" s="26">
        <f t="shared" si="13"/>
        <v>0</v>
      </c>
      <c r="T10" s="26">
        <f t="shared" si="6"/>
        <v>0</v>
      </c>
      <c r="U10" s="26">
        <f t="shared" si="6"/>
        <v>0</v>
      </c>
      <c r="V10" s="26">
        <f t="shared" si="6"/>
        <v>0</v>
      </c>
      <c r="W10" s="26">
        <f t="shared" si="6"/>
        <v>0</v>
      </c>
      <c r="X10" s="27">
        <f t="shared" si="14"/>
        <v>679.2</v>
      </c>
      <c r="Y10" s="27">
        <f t="shared" si="7"/>
        <v>611.28</v>
      </c>
      <c r="Z10" s="27">
        <f t="shared" si="7"/>
        <v>458.46000000000004</v>
      </c>
      <c r="AA10" s="27">
        <f t="shared" si="7"/>
        <v>458.46000000000004</v>
      </c>
      <c r="AB10" s="27">
        <f t="shared" si="7"/>
        <v>611.28</v>
      </c>
      <c r="AC10" s="30">
        <f t="shared" si="15"/>
        <v>2818.6800000000003</v>
      </c>
    </row>
    <row r="11" spans="1:33" x14ac:dyDescent="0.3">
      <c r="A11" s="1" t="s">
        <v>18</v>
      </c>
      <c r="B11" s="1" t="s">
        <v>19</v>
      </c>
      <c r="C11" s="2">
        <v>18.149999999999999</v>
      </c>
      <c r="D11" s="18">
        <f t="shared" si="16"/>
        <v>8</v>
      </c>
      <c r="E11" s="18">
        <f t="shared" si="8"/>
        <v>0</v>
      </c>
      <c r="F11" s="18">
        <f t="shared" si="9"/>
        <v>0</v>
      </c>
      <c r="G11" s="18">
        <f t="shared" si="10"/>
        <v>0</v>
      </c>
      <c r="H11" s="18">
        <f t="shared" si="11"/>
        <v>0</v>
      </c>
      <c r="I11" s="16">
        <v>48</v>
      </c>
      <c r="J11" s="16">
        <v>24</v>
      </c>
      <c r="K11" s="16">
        <v>29</v>
      </c>
      <c r="L11" s="16">
        <v>28</v>
      </c>
      <c r="M11" s="1">
        <v>28</v>
      </c>
      <c r="N11" s="23">
        <f t="shared" si="12"/>
        <v>871.19999999999993</v>
      </c>
      <c r="O11" s="23">
        <f t="shared" si="5"/>
        <v>435.59999999999997</v>
      </c>
      <c r="P11" s="23">
        <f t="shared" si="5"/>
        <v>526.34999999999991</v>
      </c>
      <c r="Q11" s="23">
        <f t="shared" si="5"/>
        <v>508.19999999999993</v>
      </c>
      <c r="R11" s="23">
        <f t="shared" si="5"/>
        <v>508.19999999999993</v>
      </c>
      <c r="S11" s="26">
        <f t="shared" si="13"/>
        <v>72.599999999999994</v>
      </c>
      <c r="T11" s="26">
        <f t="shared" si="6"/>
        <v>0</v>
      </c>
      <c r="U11" s="26">
        <f t="shared" si="6"/>
        <v>0</v>
      </c>
      <c r="V11" s="26">
        <f t="shared" si="6"/>
        <v>0</v>
      </c>
      <c r="W11" s="26">
        <f t="shared" si="6"/>
        <v>0</v>
      </c>
      <c r="X11" s="27">
        <f t="shared" si="14"/>
        <v>943.8</v>
      </c>
      <c r="Y11" s="27">
        <f t="shared" si="7"/>
        <v>435.59999999999997</v>
      </c>
      <c r="Z11" s="27">
        <f t="shared" si="7"/>
        <v>526.34999999999991</v>
      </c>
      <c r="AA11" s="27">
        <f t="shared" si="7"/>
        <v>508.19999999999993</v>
      </c>
      <c r="AB11" s="27">
        <f t="shared" si="7"/>
        <v>508.19999999999993</v>
      </c>
      <c r="AC11" s="30">
        <f t="shared" si="15"/>
        <v>2922.1499999999996</v>
      </c>
    </row>
    <row r="12" spans="1:33" x14ac:dyDescent="0.3">
      <c r="A12" s="1" t="s">
        <v>20</v>
      </c>
      <c r="B12" s="1" t="s">
        <v>21</v>
      </c>
      <c r="C12" s="2">
        <v>9.56</v>
      </c>
      <c r="D12" s="18">
        <f t="shared" si="16"/>
        <v>16</v>
      </c>
      <c r="E12" s="18">
        <f t="shared" si="8"/>
        <v>0</v>
      </c>
      <c r="F12" s="18">
        <f t="shared" si="9"/>
        <v>1</v>
      </c>
      <c r="G12" s="18">
        <f t="shared" si="10"/>
        <v>0</v>
      </c>
      <c r="H12" s="18">
        <f t="shared" si="11"/>
        <v>0</v>
      </c>
      <c r="I12" s="16">
        <v>56</v>
      </c>
      <c r="J12" s="16">
        <v>29</v>
      </c>
      <c r="K12" s="16">
        <v>41</v>
      </c>
      <c r="L12" s="16">
        <v>29</v>
      </c>
      <c r="M12" s="1">
        <v>27</v>
      </c>
      <c r="N12" s="23">
        <f t="shared" si="12"/>
        <v>535.36</v>
      </c>
      <c r="O12" s="23">
        <f t="shared" si="5"/>
        <v>277.24</v>
      </c>
      <c r="P12" s="23">
        <f t="shared" si="5"/>
        <v>391.96000000000004</v>
      </c>
      <c r="Q12" s="23">
        <f t="shared" si="5"/>
        <v>277.24</v>
      </c>
      <c r="R12" s="23">
        <f t="shared" si="5"/>
        <v>258.12</v>
      </c>
      <c r="S12" s="26">
        <f t="shared" si="13"/>
        <v>76.48</v>
      </c>
      <c r="T12" s="26">
        <f t="shared" si="6"/>
        <v>0</v>
      </c>
      <c r="U12" s="26">
        <f t="shared" si="6"/>
        <v>4.78</v>
      </c>
      <c r="V12" s="26">
        <f t="shared" si="6"/>
        <v>0</v>
      </c>
      <c r="W12" s="26">
        <f t="shared" si="6"/>
        <v>0</v>
      </c>
      <c r="X12" s="27">
        <f t="shared" si="14"/>
        <v>611.84</v>
      </c>
      <c r="Y12" s="27">
        <f t="shared" si="7"/>
        <v>277.24</v>
      </c>
      <c r="Z12" s="27">
        <f t="shared" si="7"/>
        <v>396.74</v>
      </c>
      <c r="AA12" s="27">
        <f t="shared" si="7"/>
        <v>277.24</v>
      </c>
      <c r="AB12" s="27">
        <f t="shared" si="7"/>
        <v>258.12</v>
      </c>
      <c r="AC12" s="30">
        <f t="shared" si="15"/>
        <v>1821.1800000000003</v>
      </c>
    </row>
    <row r="13" spans="1:33" x14ac:dyDescent="0.3">
      <c r="A13" s="1" t="s">
        <v>22</v>
      </c>
      <c r="B13" s="1" t="s">
        <v>23</v>
      </c>
      <c r="C13" s="2">
        <v>13.65</v>
      </c>
      <c r="D13" s="18">
        <f t="shared" si="16"/>
        <v>0</v>
      </c>
      <c r="E13" s="18">
        <f t="shared" si="8"/>
        <v>0</v>
      </c>
      <c r="F13" s="18">
        <f t="shared" si="9"/>
        <v>0</v>
      </c>
      <c r="G13" s="18">
        <f t="shared" si="10"/>
        <v>0</v>
      </c>
      <c r="H13" s="18">
        <f t="shared" si="11"/>
        <v>0</v>
      </c>
      <c r="I13" s="16">
        <v>16</v>
      </c>
      <c r="J13" s="16">
        <v>23</v>
      </c>
      <c r="K13" s="16">
        <v>40</v>
      </c>
      <c r="L13" s="16">
        <v>21</v>
      </c>
      <c r="M13" s="1">
        <v>21</v>
      </c>
      <c r="N13" s="23">
        <f t="shared" si="12"/>
        <v>218.4</v>
      </c>
      <c r="O13" s="23">
        <f t="shared" si="5"/>
        <v>313.95</v>
      </c>
      <c r="P13" s="23">
        <f t="shared" si="5"/>
        <v>546</v>
      </c>
      <c r="Q13" s="23">
        <f t="shared" si="5"/>
        <v>286.65000000000003</v>
      </c>
      <c r="R13" s="23">
        <f t="shared" si="5"/>
        <v>286.65000000000003</v>
      </c>
      <c r="S13" s="26">
        <f t="shared" si="13"/>
        <v>0</v>
      </c>
      <c r="T13" s="26">
        <f t="shared" si="6"/>
        <v>0</v>
      </c>
      <c r="U13" s="26">
        <f t="shared" si="6"/>
        <v>0</v>
      </c>
      <c r="V13" s="26">
        <f t="shared" si="6"/>
        <v>0</v>
      </c>
      <c r="W13" s="26">
        <f t="shared" si="6"/>
        <v>0</v>
      </c>
      <c r="X13" s="27">
        <f t="shared" si="14"/>
        <v>218.4</v>
      </c>
      <c r="Y13" s="27">
        <f t="shared" si="7"/>
        <v>313.95</v>
      </c>
      <c r="Z13" s="27">
        <f t="shared" si="7"/>
        <v>546</v>
      </c>
      <c r="AA13" s="27">
        <f t="shared" si="7"/>
        <v>286.65000000000003</v>
      </c>
      <c r="AB13" s="27">
        <f t="shared" si="7"/>
        <v>286.65000000000003</v>
      </c>
      <c r="AC13" s="30">
        <f t="shared" si="15"/>
        <v>1651.65</v>
      </c>
    </row>
    <row r="14" spans="1:33" x14ac:dyDescent="0.3">
      <c r="A14" s="1" t="s">
        <v>24</v>
      </c>
      <c r="B14" s="1" t="s">
        <v>5</v>
      </c>
      <c r="C14" s="2">
        <v>45.68</v>
      </c>
      <c r="D14" s="18">
        <f t="shared" si="16"/>
        <v>0</v>
      </c>
      <c r="E14" s="18">
        <f t="shared" si="8"/>
        <v>0</v>
      </c>
      <c r="F14" s="18">
        <f t="shared" si="9"/>
        <v>8</v>
      </c>
      <c r="G14" s="18">
        <f t="shared" si="10"/>
        <v>0</v>
      </c>
      <c r="H14" s="18">
        <f t="shared" si="11"/>
        <v>0</v>
      </c>
      <c r="I14" s="16">
        <v>15</v>
      </c>
      <c r="J14" s="16">
        <v>22</v>
      </c>
      <c r="K14" s="16">
        <v>48</v>
      </c>
      <c r="L14" s="16">
        <v>36</v>
      </c>
      <c r="M14" s="1">
        <v>29</v>
      </c>
      <c r="N14" s="23">
        <f t="shared" si="12"/>
        <v>685.2</v>
      </c>
      <c r="O14" s="23">
        <f t="shared" si="5"/>
        <v>1004.96</v>
      </c>
      <c r="P14" s="23">
        <f t="shared" si="5"/>
        <v>2192.64</v>
      </c>
      <c r="Q14" s="23">
        <f t="shared" si="5"/>
        <v>1644.48</v>
      </c>
      <c r="R14" s="23">
        <f t="shared" si="5"/>
        <v>1324.72</v>
      </c>
      <c r="S14" s="26">
        <f t="shared" si="13"/>
        <v>0</v>
      </c>
      <c r="T14" s="26">
        <f t="shared" si="6"/>
        <v>0</v>
      </c>
      <c r="U14" s="26">
        <f t="shared" si="6"/>
        <v>182.72</v>
      </c>
      <c r="V14" s="26">
        <f t="shared" si="6"/>
        <v>0</v>
      </c>
      <c r="W14" s="26">
        <f t="shared" si="6"/>
        <v>0</v>
      </c>
      <c r="X14" s="27">
        <f t="shared" si="14"/>
        <v>685.2</v>
      </c>
      <c r="Y14" s="27">
        <f t="shared" si="7"/>
        <v>1004.96</v>
      </c>
      <c r="Z14" s="27">
        <f t="shared" si="7"/>
        <v>2375.3599999999997</v>
      </c>
      <c r="AA14" s="27">
        <f t="shared" si="7"/>
        <v>1644.48</v>
      </c>
      <c r="AB14" s="27">
        <f t="shared" si="7"/>
        <v>1324.72</v>
      </c>
      <c r="AC14" s="30">
        <f t="shared" si="15"/>
        <v>7034.72</v>
      </c>
    </row>
    <row r="15" spans="1:33" x14ac:dyDescent="0.3">
      <c r="A15" s="1" t="s">
        <v>25</v>
      </c>
      <c r="B15" s="1" t="s">
        <v>26</v>
      </c>
      <c r="C15" s="2">
        <v>15.1</v>
      </c>
      <c r="D15" s="18">
        <f t="shared" si="16"/>
        <v>5</v>
      </c>
      <c r="E15" s="18">
        <f t="shared" si="8"/>
        <v>0</v>
      </c>
      <c r="F15" s="18">
        <f t="shared" si="9"/>
        <v>0</v>
      </c>
      <c r="G15" s="18">
        <f t="shared" si="10"/>
        <v>0</v>
      </c>
      <c r="H15" s="18">
        <f t="shared" si="11"/>
        <v>0</v>
      </c>
      <c r="I15" s="16">
        <v>45</v>
      </c>
      <c r="J15" s="16">
        <v>19</v>
      </c>
      <c r="K15" s="16">
        <v>32</v>
      </c>
      <c r="L15" s="16">
        <v>34</v>
      </c>
      <c r="M15" s="1">
        <v>36</v>
      </c>
      <c r="N15" s="23">
        <f t="shared" si="12"/>
        <v>679.5</v>
      </c>
      <c r="O15" s="23">
        <f t="shared" si="5"/>
        <v>286.89999999999998</v>
      </c>
      <c r="P15" s="23">
        <f t="shared" si="5"/>
        <v>483.2</v>
      </c>
      <c r="Q15" s="23">
        <f t="shared" si="5"/>
        <v>513.4</v>
      </c>
      <c r="R15" s="23">
        <f t="shared" si="5"/>
        <v>543.6</v>
      </c>
      <c r="S15" s="26">
        <f t="shared" si="13"/>
        <v>37.75</v>
      </c>
      <c r="T15" s="26">
        <f t="shared" si="6"/>
        <v>0</v>
      </c>
      <c r="U15" s="26">
        <f t="shared" si="6"/>
        <v>0</v>
      </c>
      <c r="V15" s="26">
        <f t="shared" si="6"/>
        <v>0</v>
      </c>
      <c r="W15" s="26">
        <f t="shared" si="6"/>
        <v>0</v>
      </c>
      <c r="X15" s="27">
        <f t="shared" si="14"/>
        <v>717.25</v>
      </c>
      <c r="Y15" s="27">
        <f t="shared" si="7"/>
        <v>286.89999999999998</v>
      </c>
      <c r="Z15" s="27">
        <f t="shared" si="7"/>
        <v>483.2</v>
      </c>
      <c r="AA15" s="27">
        <f t="shared" si="7"/>
        <v>513.4</v>
      </c>
      <c r="AB15" s="27">
        <f t="shared" si="7"/>
        <v>543.6</v>
      </c>
      <c r="AC15" s="30">
        <f t="shared" si="15"/>
        <v>2544.35</v>
      </c>
    </row>
    <row r="16" spans="1:33" x14ac:dyDescent="0.3">
      <c r="A16" s="1" t="s">
        <v>27</v>
      </c>
      <c r="B16" s="1" t="s">
        <v>28</v>
      </c>
      <c r="C16" s="2">
        <v>12.3</v>
      </c>
      <c r="D16" s="18">
        <f t="shared" si="16"/>
        <v>0</v>
      </c>
      <c r="E16" s="18">
        <f t="shared" si="8"/>
        <v>0</v>
      </c>
      <c r="F16" s="18">
        <f t="shared" si="9"/>
        <v>0</v>
      </c>
      <c r="G16" s="18">
        <f t="shared" si="10"/>
        <v>5</v>
      </c>
      <c r="H16" s="18">
        <f t="shared" si="11"/>
        <v>0</v>
      </c>
      <c r="I16" s="16">
        <v>35</v>
      </c>
      <c r="J16" s="16">
        <v>18</v>
      </c>
      <c r="K16" s="16">
        <v>37</v>
      </c>
      <c r="L16" s="16">
        <v>45</v>
      </c>
      <c r="M16" s="1">
        <v>31</v>
      </c>
      <c r="N16" s="23">
        <f t="shared" si="12"/>
        <v>430.5</v>
      </c>
      <c r="O16" s="23">
        <f t="shared" si="5"/>
        <v>221.4</v>
      </c>
      <c r="P16" s="23">
        <f t="shared" si="5"/>
        <v>455.1</v>
      </c>
      <c r="Q16" s="23">
        <f t="shared" si="5"/>
        <v>553.5</v>
      </c>
      <c r="R16" s="23">
        <f t="shared" si="5"/>
        <v>381.3</v>
      </c>
      <c r="S16" s="26">
        <f t="shared" si="13"/>
        <v>0</v>
      </c>
      <c r="T16" s="26">
        <f t="shared" si="6"/>
        <v>0</v>
      </c>
      <c r="U16" s="26">
        <f t="shared" si="6"/>
        <v>0</v>
      </c>
      <c r="V16" s="26">
        <f t="shared" si="6"/>
        <v>30.75</v>
      </c>
      <c r="W16" s="26">
        <f t="shared" si="6"/>
        <v>0</v>
      </c>
      <c r="X16" s="27">
        <f t="shared" si="14"/>
        <v>430.5</v>
      </c>
      <c r="Y16" s="27">
        <f t="shared" si="7"/>
        <v>221.4</v>
      </c>
      <c r="Z16" s="27">
        <f t="shared" si="7"/>
        <v>455.1</v>
      </c>
      <c r="AA16" s="27">
        <f t="shared" si="7"/>
        <v>584.25</v>
      </c>
      <c r="AB16" s="27">
        <f t="shared" si="7"/>
        <v>381.3</v>
      </c>
      <c r="AC16" s="30">
        <f t="shared" si="15"/>
        <v>2072.5500000000002</v>
      </c>
    </row>
    <row r="17" spans="1:29" x14ac:dyDescent="0.3">
      <c r="A17" s="1" t="s">
        <v>29</v>
      </c>
      <c r="B17" s="1" t="s">
        <v>30</v>
      </c>
      <c r="C17" s="2">
        <v>17.8</v>
      </c>
      <c r="D17" s="18">
        <f t="shared" si="16"/>
        <v>0</v>
      </c>
      <c r="E17" s="18">
        <f t="shared" si="8"/>
        <v>5</v>
      </c>
      <c r="F17" s="18">
        <f t="shared" si="9"/>
        <v>0</v>
      </c>
      <c r="G17" s="18">
        <f t="shared" si="10"/>
        <v>9</v>
      </c>
      <c r="H17" s="18">
        <f t="shared" si="11"/>
        <v>0</v>
      </c>
      <c r="I17" s="16">
        <v>26</v>
      </c>
      <c r="J17" s="16">
        <v>45</v>
      </c>
      <c r="K17" s="16">
        <v>39</v>
      </c>
      <c r="L17" s="16">
        <v>49</v>
      </c>
      <c r="M17" s="1">
        <v>37</v>
      </c>
      <c r="N17" s="23">
        <f t="shared" si="12"/>
        <v>462.8</v>
      </c>
      <c r="O17" s="23">
        <f t="shared" si="5"/>
        <v>801</v>
      </c>
      <c r="P17" s="23">
        <f t="shared" si="5"/>
        <v>694.2</v>
      </c>
      <c r="Q17" s="23">
        <f t="shared" si="5"/>
        <v>872.2</v>
      </c>
      <c r="R17" s="23">
        <f t="shared" si="5"/>
        <v>658.6</v>
      </c>
      <c r="S17" s="26">
        <f t="shared" si="13"/>
        <v>0</v>
      </c>
      <c r="T17" s="26">
        <f t="shared" si="6"/>
        <v>44.5</v>
      </c>
      <c r="U17" s="26">
        <f t="shared" si="6"/>
        <v>0</v>
      </c>
      <c r="V17" s="26">
        <f t="shared" si="6"/>
        <v>80.100000000000009</v>
      </c>
      <c r="W17" s="26">
        <f t="shared" si="6"/>
        <v>0</v>
      </c>
      <c r="X17" s="27">
        <f t="shared" si="14"/>
        <v>462.8</v>
      </c>
      <c r="Y17" s="27">
        <f t="shared" si="7"/>
        <v>845.5</v>
      </c>
      <c r="Z17" s="27">
        <f t="shared" si="7"/>
        <v>694.2</v>
      </c>
      <c r="AA17" s="27">
        <f t="shared" si="7"/>
        <v>952.30000000000007</v>
      </c>
      <c r="AB17" s="27">
        <f t="shared" si="7"/>
        <v>658.6</v>
      </c>
      <c r="AC17" s="30">
        <f t="shared" si="15"/>
        <v>3613.4</v>
      </c>
    </row>
    <row r="18" spans="1:29" x14ac:dyDescent="0.3">
      <c r="A18" s="1" t="s">
        <v>31</v>
      </c>
      <c r="B18" s="1" t="s">
        <v>32</v>
      </c>
      <c r="C18" s="2">
        <v>19.87</v>
      </c>
      <c r="D18" s="18">
        <f t="shared" si="16"/>
        <v>0</v>
      </c>
      <c r="E18" s="18">
        <f t="shared" si="8"/>
        <v>2</v>
      </c>
      <c r="F18" s="18">
        <f t="shared" si="9"/>
        <v>0</v>
      </c>
      <c r="G18" s="18">
        <f t="shared" si="10"/>
        <v>0</v>
      </c>
      <c r="H18" s="18">
        <f t="shared" si="11"/>
        <v>0</v>
      </c>
      <c r="I18" s="16">
        <v>17</v>
      </c>
      <c r="J18" s="16">
        <v>42</v>
      </c>
      <c r="K18" s="16">
        <v>28</v>
      </c>
      <c r="L18" s="16">
        <v>35</v>
      </c>
      <c r="M18" s="1">
        <v>19</v>
      </c>
      <c r="N18" s="23">
        <f t="shared" si="12"/>
        <v>337.79</v>
      </c>
      <c r="O18" s="23">
        <f t="shared" si="5"/>
        <v>834.54000000000008</v>
      </c>
      <c r="P18" s="23">
        <f t="shared" si="5"/>
        <v>556.36</v>
      </c>
      <c r="Q18" s="23">
        <f t="shared" si="5"/>
        <v>695.45</v>
      </c>
      <c r="R18" s="23">
        <f t="shared" si="5"/>
        <v>377.53000000000003</v>
      </c>
      <c r="S18" s="26">
        <f t="shared" si="13"/>
        <v>0</v>
      </c>
      <c r="T18" s="26">
        <f t="shared" si="6"/>
        <v>19.87</v>
      </c>
      <c r="U18" s="26">
        <f t="shared" si="6"/>
        <v>0</v>
      </c>
      <c r="V18" s="26">
        <f t="shared" si="6"/>
        <v>0</v>
      </c>
      <c r="W18" s="26">
        <f t="shared" si="6"/>
        <v>0</v>
      </c>
      <c r="X18" s="27">
        <f t="shared" si="14"/>
        <v>337.79</v>
      </c>
      <c r="Y18" s="27">
        <f t="shared" si="7"/>
        <v>854.41000000000008</v>
      </c>
      <c r="Z18" s="27">
        <f t="shared" si="7"/>
        <v>556.36</v>
      </c>
      <c r="AA18" s="27">
        <f t="shared" si="7"/>
        <v>695.45</v>
      </c>
      <c r="AB18" s="27">
        <f t="shared" si="7"/>
        <v>377.53000000000003</v>
      </c>
      <c r="AC18" s="30">
        <f t="shared" si="15"/>
        <v>2821.5400000000004</v>
      </c>
    </row>
    <row r="19" spans="1:29" x14ac:dyDescent="0.3">
      <c r="A19" s="1" t="s">
        <v>33</v>
      </c>
      <c r="B19" s="1" t="s">
        <v>34</v>
      </c>
      <c r="C19" s="2">
        <v>20.12</v>
      </c>
      <c r="D19" s="18">
        <f t="shared" si="16"/>
        <v>0</v>
      </c>
      <c r="E19" s="18">
        <f t="shared" si="8"/>
        <v>1</v>
      </c>
      <c r="F19" s="18">
        <f t="shared" si="9"/>
        <v>0</v>
      </c>
      <c r="G19" s="18">
        <f t="shared" si="10"/>
        <v>0</v>
      </c>
      <c r="H19" s="18">
        <f t="shared" si="11"/>
        <v>0</v>
      </c>
      <c r="I19" s="16">
        <v>39</v>
      </c>
      <c r="J19" s="16">
        <v>41</v>
      </c>
      <c r="K19" s="16">
        <v>29</v>
      </c>
      <c r="L19" s="16">
        <v>17</v>
      </c>
      <c r="M19" s="1">
        <v>36</v>
      </c>
      <c r="N19" s="23">
        <f t="shared" si="12"/>
        <v>784.68000000000006</v>
      </c>
      <c r="O19" s="23">
        <f t="shared" ref="O19" si="17">$C19*J19</f>
        <v>824.92000000000007</v>
      </c>
      <c r="P19" s="23">
        <f t="shared" ref="P19" si="18">$C19*K19</f>
        <v>583.48</v>
      </c>
      <c r="Q19" s="23">
        <f t="shared" ref="Q19" si="19">$C19*L19</f>
        <v>342.04</v>
      </c>
      <c r="R19" s="23">
        <f t="shared" ref="R19" si="20">$C19*M19</f>
        <v>724.32</v>
      </c>
      <c r="S19" s="26">
        <f t="shared" si="13"/>
        <v>0</v>
      </c>
      <c r="T19" s="26">
        <f t="shared" ref="T19" si="21">0.5 * $C19 * E19</f>
        <v>10.06</v>
      </c>
      <c r="U19" s="26">
        <f t="shared" ref="U19" si="22">0.5 * $C19 * F19</f>
        <v>0</v>
      </c>
      <c r="V19" s="26">
        <f t="shared" ref="V19" si="23">0.5 * $C19 * G19</f>
        <v>0</v>
      </c>
      <c r="W19" s="26">
        <f t="shared" ref="W19" si="24">0.5 * $C19 * H19</f>
        <v>0</v>
      </c>
      <c r="X19" s="27">
        <f t="shared" si="14"/>
        <v>784.68000000000006</v>
      </c>
      <c r="Y19" s="27">
        <f t="shared" ref="Y19" si="25">O19+T19</f>
        <v>834.98</v>
      </c>
      <c r="Z19" s="27">
        <f t="shared" ref="Z19" si="26">P19+U19</f>
        <v>583.48</v>
      </c>
      <c r="AA19" s="27">
        <f t="shared" ref="AA19" si="27">Q19+V19</f>
        <v>342.04</v>
      </c>
      <c r="AB19" s="27">
        <f t="shared" ref="AB19" si="28">R19+W19</f>
        <v>724.32</v>
      </c>
      <c r="AC19" s="30">
        <f t="shared" si="15"/>
        <v>3269.5000000000005</v>
      </c>
    </row>
    <row r="20" spans="1:29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3">
      <c r="A21" s="1" t="s">
        <v>37</v>
      </c>
      <c r="B21" s="1"/>
      <c r="C21" s="4">
        <f>MAX(C3:C19)</f>
        <v>45.68</v>
      </c>
      <c r="D21" s="5">
        <f t="shared" ref="D21:I21" si="29">MAX(D3:D19)</f>
        <v>16</v>
      </c>
      <c r="E21" s="5">
        <f t="shared" si="29"/>
        <v>5</v>
      </c>
      <c r="F21" s="5">
        <f t="shared" ref="F21:H21" si="30">MAX(F3:F19)</f>
        <v>16</v>
      </c>
      <c r="G21" s="4">
        <f t="shared" si="30"/>
        <v>9</v>
      </c>
      <c r="H21" s="5">
        <f t="shared" si="30"/>
        <v>30</v>
      </c>
      <c r="I21" s="4">
        <f t="shared" si="29"/>
        <v>56</v>
      </c>
      <c r="J21" s="4">
        <f t="shared" ref="J21:L21" si="31">MAX(J3:J19)</f>
        <v>45</v>
      </c>
      <c r="K21" s="4">
        <f t="shared" si="31"/>
        <v>56</v>
      </c>
      <c r="L21" s="4">
        <f t="shared" si="31"/>
        <v>49</v>
      </c>
      <c r="M21" s="4">
        <f t="shared" ref="M21" si="32">MAX(M3:M19)</f>
        <v>70</v>
      </c>
      <c r="N21" s="4">
        <f t="shared" ref="N21:R21" si="33">MAX(N3:N19)</f>
        <v>871.19999999999993</v>
      </c>
      <c r="O21" s="4">
        <f t="shared" si="33"/>
        <v>1100.1599999999999</v>
      </c>
      <c r="P21" s="4">
        <f t="shared" si="33"/>
        <v>2192.64</v>
      </c>
      <c r="Q21" s="4">
        <f t="shared" si="33"/>
        <v>1644.48</v>
      </c>
      <c r="R21" s="4">
        <f t="shared" si="33"/>
        <v>1324.72</v>
      </c>
      <c r="S21" s="4">
        <f>MAX(S3:S19)</f>
        <v>76.48</v>
      </c>
      <c r="T21" s="4">
        <f t="shared" ref="T21:W21" si="34">MAX(T3:T19)</f>
        <v>44.5</v>
      </c>
      <c r="U21" s="4">
        <f t="shared" si="34"/>
        <v>182.72</v>
      </c>
      <c r="V21" s="4">
        <f t="shared" si="34"/>
        <v>80.100000000000009</v>
      </c>
      <c r="W21" s="4">
        <f t="shared" si="34"/>
        <v>258.75</v>
      </c>
      <c r="X21" s="4">
        <f t="shared" ref="X21:AB21" si="35">MAX(X3:X19)</f>
        <v>943.8</v>
      </c>
      <c r="Y21" s="4">
        <f t="shared" si="35"/>
        <v>1100.1599999999999</v>
      </c>
      <c r="Z21" s="4">
        <f t="shared" si="35"/>
        <v>2375.3599999999997</v>
      </c>
      <c r="AA21" s="4">
        <f t="shared" si="35"/>
        <v>1644.48</v>
      </c>
      <c r="AB21" s="4">
        <f t="shared" si="35"/>
        <v>1466.25</v>
      </c>
      <c r="AC21" s="4">
        <f>MAX(AC3:AC19)</f>
        <v>7034.72</v>
      </c>
    </row>
    <row r="22" spans="1:29" x14ac:dyDescent="0.3">
      <c r="A22" s="1" t="s">
        <v>38</v>
      </c>
      <c r="B22" s="1"/>
      <c r="C22" s="4">
        <f>MIN(C3:C19)</f>
        <v>9.56</v>
      </c>
      <c r="D22" s="5">
        <f t="shared" ref="D22:I22" si="36">MIN(D3:D19)</f>
        <v>0</v>
      </c>
      <c r="E22" s="5">
        <f t="shared" si="36"/>
        <v>0</v>
      </c>
      <c r="F22" s="5">
        <f t="shared" ref="F22:H22" si="37">MIN(F3:F19)</f>
        <v>0</v>
      </c>
      <c r="G22" s="4">
        <f t="shared" si="37"/>
        <v>0</v>
      </c>
      <c r="H22" s="5">
        <f t="shared" si="37"/>
        <v>0</v>
      </c>
      <c r="I22" s="4">
        <f t="shared" si="36"/>
        <v>15</v>
      </c>
      <c r="J22" s="4">
        <f t="shared" ref="J22:L22" si="38">MIN(J3:J19)</f>
        <v>18</v>
      </c>
      <c r="K22" s="4">
        <f t="shared" si="38"/>
        <v>19</v>
      </c>
      <c r="L22" s="4">
        <f t="shared" si="38"/>
        <v>14</v>
      </c>
      <c r="M22" s="4">
        <f t="shared" ref="M22" si="39">MIN(M3:M19)</f>
        <v>19</v>
      </c>
      <c r="N22" s="4">
        <f t="shared" ref="N22:R22" si="40">MIN(N3:N19)</f>
        <v>190</v>
      </c>
      <c r="O22" s="4">
        <f t="shared" si="40"/>
        <v>221.4</v>
      </c>
      <c r="P22" s="4">
        <f t="shared" si="40"/>
        <v>286.89999999999998</v>
      </c>
      <c r="Q22" s="4">
        <f t="shared" si="40"/>
        <v>241.5</v>
      </c>
      <c r="R22" s="4">
        <f t="shared" si="40"/>
        <v>256.25</v>
      </c>
      <c r="S22" s="4">
        <f>MIN(S3:S19)</f>
        <v>0</v>
      </c>
      <c r="T22" s="4">
        <f t="shared" ref="T22:W22" si="41">MIN(T3:T19)</f>
        <v>0</v>
      </c>
      <c r="U22" s="4">
        <f t="shared" si="41"/>
        <v>0</v>
      </c>
      <c r="V22" s="4">
        <f t="shared" si="41"/>
        <v>0</v>
      </c>
      <c r="W22" s="4">
        <f t="shared" si="41"/>
        <v>0</v>
      </c>
      <c r="X22" s="4">
        <f t="shared" ref="X22:AB22" si="42">MIN(X3:X19)</f>
        <v>190</v>
      </c>
      <c r="Y22" s="4">
        <f t="shared" si="42"/>
        <v>221.4</v>
      </c>
      <c r="Z22" s="4">
        <f t="shared" si="42"/>
        <v>286.89999999999998</v>
      </c>
      <c r="AA22" s="4">
        <f t="shared" si="42"/>
        <v>241.5</v>
      </c>
      <c r="AB22" s="4">
        <f t="shared" si="42"/>
        <v>256.25</v>
      </c>
      <c r="AC22" s="4">
        <f>MIN(AC3:AC19)</f>
        <v>1500</v>
      </c>
    </row>
    <row r="23" spans="1:29" x14ac:dyDescent="0.3">
      <c r="A23" s="1" t="s">
        <v>39</v>
      </c>
      <c r="B23" s="1"/>
      <c r="C23" s="4">
        <f>AVERAGE(C3:C19)</f>
        <v>18.111764705882354</v>
      </c>
      <c r="D23" s="5">
        <f t="shared" ref="D23:I23" si="43">AVERAGE(D3:D19)</f>
        <v>2.0588235294117645</v>
      </c>
      <c r="E23" s="5">
        <f t="shared" si="43"/>
        <v>0.47058823529411764</v>
      </c>
      <c r="F23" s="5">
        <f t="shared" ref="F23:H23" si="44">AVERAGE(F3:F19)</f>
        <v>1.5294117647058822</v>
      </c>
      <c r="G23" s="4">
        <f t="shared" si="44"/>
        <v>1.1176470588235294</v>
      </c>
      <c r="H23" s="5">
        <f t="shared" si="44"/>
        <v>2.3529411764705883</v>
      </c>
      <c r="I23" s="4">
        <f t="shared" si="43"/>
        <v>31.411764705882351</v>
      </c>
      <c r="J23" s="4">
        <f t="shared" ref="J23:L23" si="45">AVERAGE(J3:J19)</f>
        <v>30.588235294117649</v>
      </c>
      <c r="K23" s="4">
        <f t="shared" si="45"/>
        <v>34.176470588235297</v>
      </c>
      <c r="L23" s="4">
        <f t="shared" si="45"/>
        <v>31.058823529411764</v>
      </c>
      <c r="M23" s="4">
        <f t="shared" ref="M23" si="46">AVERAGE(M3:M19)</f>
        <v>33.588235294117645</v>
      </c>
      <c r="N23" s="4">
        <f t="shared" ref="N23:R23" si="47">AVERAGE(N3:N19)</f>
        <v>526.73705882352931</v>
      </c>
      <c r="O23" s="4">
        <f t="shared" si="47"/>
        <v>547.7982352941176</v>
      </c>
      <c r="P23" s="4">
        <f t="shared" si="47"/>
        <v>633.98411764705907</v>
      </c>
      <c r="Q23" s="4">
        <f t="shared" si="47"/>
        <v>569.10764705882366</v>
      </c>
      <c r="R23" s="4">
        <f t="shared" si="47"/>
        <v>595.96588235294121</v>
      </c>
      <c r="S23" s="4">
        <f>AVERAGE(S3:S19)</f>
        <v>14.034117647058823</v>
      </c>
      <c r="T23" s="4">
        <f t="shared" ref="T23:W23" si="48">AVERAGE(T3:T19)</f>
        <v>4.3782352941176477</v>
      </c>
      <c r="U23" s="4">
        <f t="shared" si="48"/>
        <v>16.751764705882351</v>
      </c>
      <c r="V23" s="4">
        <f t="shared" si="48"/>
        <v>8.0279411764705895</v>
      </c>
      <c r="W23" s="4">
        <f t="shared" si="48"/>
        <v>20.327941176470588</v>
      </c>
      <c r="X23" s="4">
        <f t="shared" ref="X23:AB23" si="49">AVERAGE(X3:X19)</f>
        <v>540.77117647058822</v>
      </c>
      <c r="Y23" s="4">
        <f t="shared" si="49"/>
        <v>552.17647058823513</v>
      </c>
      <c r="Z23" s="4">
        <f t="shared" si="49"/>
        <v>650.73588235294119</v>
      </c>
      <c r="AA23" s="4">
        <f t="shared" si="49"/>
        <v>577.13558823529411</v>
      </c>
      <c r="AB23" s="4">
        <f t="shared" si="49"/>
        <v>616.29382352941172</v>
      </c>
      <c r="AC23" s="4">
        <f>AVERAGE(AC3:AC19)</f>
        <v>2937.1129411764709</v>
      </c>
    </row>
    <row r="24" spans="1:29" ht="18" x14ac:dyDescent="0.35">
      <c r="A24" s="1" t="s">
        <v>40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6"/>
      <c r="O24" s="6"/>
      <c r="P24" s="6"/>
      <c r="Q24" s="6"/>
      <c r="R24" s="6"/>
      <c r="S24" s="1"/>
      <c r="T24" s="1"/>
      <c r="U24" s="1"/>
      <c r="V24" s="1"/>
      <c r="W24" s="1"/>
      <c r="X24" s="1"/>
      <c r="Y24" s="1"/>
      <c r="Z24" s="1"/>
      <c r="AA24" s="1"/>
      <c r="AB24" s="1"/>
      <c r="AC24" s="3">
        <f>SUM(AC3:AC19)</f>
        <v>49930.920000000006</v>
      </c>
    </row>
  </sheetData>
  <mergeCells count="6">
    <mergeCell ref="S1:W1"/>
    <mergeCell ref="X1:AB1"/>
    <mergeCell ref="I1:M1"/>
    <mergeCell ref="A1:C1"/>
    <mergeCell ref="D1:H1"/>
    <mergeCell ref="N1:R1"/>
  </mergeCells>
  <conditionalFormatting sqref="I3:I19">
    <cfRule type="cellIs" dxfId="4" priority="5" operator="greaterThan">
      <formula>40</formula>
    </cfRule>
  </conditionalFormatting>
  <conditionalFormatting sqref="N3:R19">
    <cfRule type="cellIs" dxfId="3" priority="4" operator="greaterThan">
      <formula>700</formula>
    </cfRule>
  </conditionalFormatting>
  <conditionalFormatting sqref="C3:H19">
    <cfRule type="cellIs" dxfId="2" priority="3" operator="greaterThan">
      <formula>30</formula>
    </cfRule>
  </conditionalFormatting>
  <conditionalFormatting sqref="J3:L19">
    <cfRule type="cellIs" dxfId="1" priority="2" operator="greaterThan">
      <formula>35</formula>
    </cfRule>
  </conditionalFormatting>
  <conditionalFormatting sqref="M3:M19">
    <cfRule type="cellIs" dxfId="0" priority="1" operator="greaterThan">
      <formula>44.5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employee_payroll_sheet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Imran Adil</dc:creator>
  <cp:lastModifiedBy>Ali Imran Adil</cp:lastModifiedBy>
  <dcterms:created xsi:type="dcterms:W3CDTF">2024-03-24T05:02:22Z</dcterms:created>
  <dcterms:modified xsi:type="dcterms:W3CDTF">2024-03-24T10:50:11Z</dcterms:modified>
</cp:coreProperties>
</file>